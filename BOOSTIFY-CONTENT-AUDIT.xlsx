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 List" sheetId="1" state="visible" r:id="rId3"/>
    <sheet name="The 5 Pains" sheetId="2" state="visible" r:id="rId4"/>
    <sheet name="Summary" sheetId="3" state="visible" r:id="rId5"/>
  </sheets>
  <definedNames>
    <definedName function="false" hidden="true" localSheetId="0" name="_xlnm._FilterDatabase" vbProcedure="false">'Fix List'!$A$1:$I$25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<sst xmlns="http://schemas.openxmlformats.org/spreadsheetml/2006/main" count="247" uniqueCount="156">
  <si>
    <t xml:space="preserve">#</t>
  </si>
  <si>
    <t xml:space="preserve">Page</t>
  </si>
  <si>
    <t xml:space="preserve">Section</t>
  </si>
  <si>
    <t xml:space="preserve">Type</t>
  </si>
  <si>
    <t xml:space="preserve">What is there now</t>
  </si>
  <si>
    <t xml:space="preserve">Why it is a problem</t>
  </si>
  <si>
    <t xml:space="preserve">What it becomes</t>
  </si>
  <si>
    <t xml:space="preserve">Pain</t>
  </si>
  <si>
    <t xml:space="preserve">Priority</t>
  </si>
  <si>
    <t xml:space="preserve">Both</t>
  </si>
  <si>
    <t xml:space="preserve">Timelines</t>
  </si>
  <si>
    <t xml:space="preserve">Contradiction</t>
  </si>
  <si>
    <t xml:space="preserve">/web-design FAQ says "Typically 4-6 weeks". Same page sells "2 to 3 weeks" and "3 to 5 weeks". Home + process say "3 to 5 weeks" and "25 working days".</t>
  </si>
  <si>
    <t xml:space="preserve">Three different build times on two pages. The 4-6 week line is a leftover from the old FAQ.</t>
  </si>
  <si>
    <t xml:space="preserve">One source of truth: 2-3 weeks presence, 3-5 weeks custom. Delete the 4-6 week answer, rewrite that FAQ around what actually sets the timeline.</t>
  </si>
  <si>
    <t xml:space="preserve">Burned</t>
  </si>
  <si>
    <t xml:space="preserve">P1</t>
  </si>
  <si>
    <t xml:space="preserve">Home</t>
  </si>
  <si>
    <t xml:space="preserve">Services rail heading</t>
  </si>
  <si>
    <t xml:space="preserve">"Seven services, all of them in house."</t>
  </si>
  <si>
    <t xml:space="preserve">There are six services. The seventh card is an index linking to /services.</t>
  </si>
  <si>
    <t xml:space="preserve">"Six services, all of them in house." Or add a genuine seventh.</t>
  </si>
  <si>
    <t xml:space="preserve">In-house claim</t>
  </si>
  <si>
    <t xml:space="preserve">Home: "None of it subcontracted." /web-design: "Shopify, with a partner. We hand it off and name two shops in the Valley."</t>
  </si>
  <si>
    <t xml:space="preserve">One page claims nothing is subcontracted, the other says ecommerce is handed to somebody else.</t>
  </si>
  <si>
    <t xml:space="preserve">Home becomes "Nothing we sell is subcontracted, and when a job is not ours we say so and name who to call." Turns the contradiction into the honesty play.</t>
  </si>
  <si>
    <t xml:space="preserve">Industries, auto</t>
  </si>
  <si>
    <t xml:space="preserve">Fake content</t>
  </si>
  <si>
    <t xml:space="preserve">"Fresno Truck Wash is the build at the top of this page."</t>
  </si>
  <si>
    <t xml:space="preserve">What is at the top is a mockup image and a CSS-drawn browser frame. Calling an animation a build is the exact overclaim we strip from client sites.</t>
  </si>
  <si>
    <t xml:space="preserve">Point at the real work: "Fresno Truck Wash is in the work section" and link /work. Or show the real screenshot.</t>
  </si>
  <si>
    <t xml:space="preserve">Web Design card art</t>
  </si>
  <si>
    <t xml:space="preserve">CSS browser frame shows fresnotruckwash.com with invented copy: "Fleet washing, done overnight", "Open 24 hrs".</t>
  </si>
  <si>
    <t xml:space="preserve">A real client domain wrapped around words that client never wrote.</t>
  </si>
  <si>
    <t xml:space="preserve">Either use their real page content, or drop the domain and label the frame generically.</t>
  </si>
  <si>
    <t xml:space="preserve">/web-design</t>
  </si>
  <si>
    <t xml:space="preserve">SERP mockup</t>
  </si>
  <si>
    <t xml:space="preserve">Ranking result reads "Valley Pro Plumbing / valleyproplumbing.com", 4.9 stars, 127 reviews.</t>
  </si>
  <si>
    <t xml:space="preserve">Invented business with invented review counts, drawn to look like a real Google result.</t>
  </si>
  <si>
    <t xml:space="preserve">Use a real client with permission and real numbers, or strip the name and ratings so it reads as a diagram.</t>
  </si>
  <si>
    <t xml:space="preserve">Untrusted</t>
  </si>
  <si>
    <t xml:space="preserve">Local SEO card art</t>
  </si>
  <si>
    <t xml:space="preserve">Map pack shows "Valley Truck Wash", "Herndon Auto Spa", "Shaw Fleet Care" with star ratings.</t>
  </si>
  <si>
    <t xml:space="preserve">Invented competitors with invented ratings. Two are close to real Fresno business names.</t>
  </si>
  <si>
    <t xml:space="preserve">Anonymise the competitor rows the way the /web-design SERP was fixed. Keep only the ranking mechanic.</t>
  </si>
  <si>
    <t xml:space="preserve">P2</t>
  </si>
  <si>
    <t xml:space="preserve">PageSpeed number</t>
  </si>
  <si>
    <t xml:space="preserve">Home badge "98 PageSpeed". /web-design badge "PageSpeed 98+". Dashboard shows 98. Spec says LCP under 2.5s.</t>
  </si>
  <si>
    <t xml:space="preserve">Same claim written three ways. 98 and 98+ are different promises.</t>
  </si>
  <si>
    <t xml:space="preserve">Pick one number and one wording everywhere, tied to the published Core Web Vitals threshold.</t>
  </si>
  <si>
    <t xml:space="preserve">Blind</t>
  </si>
  <si>
    <t xml:space="preserve">FAQ, changes later</t>
  </si>
  <si>
    <t xml:space="preserve">"We can build the site on a CMS so you can make simple edits yourself."</t>
  </si>
  <si>
    <t xml:space="preserve">The platform table on the same page recommends hand-coded static for most clients and treats a CMS as a specific choice.</t>
  </si>
  <si>
    <t xml:space="preserve">Rewrite to match the table: you get an editor for the handful of things that actually change.</t>
  </si>
  <si>
    <t xml:space="preserve">Service area</t>
  </si>
  <si>
    <t xml:space="preserve">Duplicate</t>
  </si>
  <si>
    <t xml:space="preserve">Home "Where we work" and /web-design "Where we build" repeat the same address, the same twenty-minutes line and the same nine city links.</t>
  </si>
  <si>
    <t xml:space="preserve">Near-verbatim duplication across two indexed pages.</t>
  </si>
  <si>
    <t xml:space="preserve">Home keeps the full section. /web-design shrinks to one line plus the city links, framed for buyers outside Fresno.</t>
  </si>
  <si>
    <t xml:space="preserve">Invisible</t>
  </si>
  <si>
    <t xml:space="preserve">Service descriptions</t>
  </si>
  <si>
    <t xml:space="preserve">/web-design "What usually comes next" repeats the homepage rail blurbs for Website Care and AI Automation almost word for word.</t>
  </si>
  <si>
    <t xml:space="preserve">The same sentences sell the same services on both pages.</t>
  </si>
  <si>
    <t xml:space="preserve">Keep the homepage blurbs as the canonical description. /web-design rewrites around when you would add it after a build.</t>
  </si>
  <si>
    <t xml:space="preserve">Ownership question</t>
  </si>
  <si>
    <t xml:space="preserve">/web-design FAQ "Do I own the website?" and home vetting "Who owns the domain and the hosting account the day I leave?"</t>
  </si>
  <si>
    <t xml:space="preserve">Same answer twice in two voices.</t>
  </si>
  <si>
    <t xml:space="preserve">Home keeps the vetting version. /web-design drops its FAQ copy and links to it.</t>
  </si>
  <si>
    <t xml:space="preserve">P3</t>
  </si>
  <si>
    <t xml:space="preserve">Old FAQ block</t>
  </si>
  <si>
    <t xml:space="preserve">Four original generic questions (how long, do I own, mobile, changes later) still sit under the new positioning.</t>
  </si>
  <si>
    <t xml:space="preserve">They were written for the old page and duplicate homepage material.</t>
  </si>
  <si>
    <t xml:space="preserve">Replace all four with the buyer questions the new page actually raises.</t>
  </si>
  <si>
    <t xml:space="preserve">Hero</t>
  </si>
  <si>
    <t xml:space="preserve">Copy framing</t>
  </si>
  <si>
    <t xml:space="preserve">"We Build Websites That Actually Bring Customers In."</t>
  </si>
  <si>
    <t xml:space="preserve">Leads with what we make. Research: 58% of local service businesses are invisible in local search, and that is the pain they arrive with.</t>
  </si>
  <si>
    <t xml:space="preserve">Lead with the pain: they searched, they found somebody else. Website is the answer, not the opener.</t>
  </si>
  <si>
    <t xml:space="preserve">Hero subhead</t>
  </si>
  <si>
    <t xml:space="preserve">"Most small business websites are a brochure nobody asked for..."</t>
  </si>
  <si>
    <t xml:space="preserve">Still argues about websites. The buyer is not shopping for a website, they are short on calls.</t>
  </si>
  <si>
    <t xml:space="preserve">Rewrite to the missed call, the competitor above them, the money already spent.</t>
  </si>
  <si>
    <t xml:space="preserve">H1</t>
  </si>
  <si>
    <t xml:space="preserve">"Web Design That Works As Hard As You Do."</t>
  </si>
  <si>
    <t xml:space="preserve">Product-first and says nothing. No pain, no specificity.</t>
  </si>
  <si>
    <t xml:space="preserve">Open on the decision the buyer is actually stuck on, framed as their problem.</t>
  </si>
  <si>
    <t xml:space="preserve">Whole-page framing</t>
  </si>
  <si>
    <t xml:space="preserve">Every section is about websites: the build, the spec, the platform, the deliverables.</t>
  </si>
  <si>
    <t xml:space="preserve">The business sells visibility, trust, captured leads and measurement. The website is the delivery mechanism, not the product.</t>
  </si>
  <si>
    <t xml:space="preserve">Reframe section headings around the five pains. Keep the technical detail underneath as proof.</t>
  </si>
  <si>
    <t xml:space="preserve">All</t>
  </si>
  <si>
    <t xml:space="preserve">Pain section</t>
  </si>
  <si>
    <t xml:space="preserve">"Most Local Websites Are Invisible!" then three cards about templates and page speed.</t>
  </si>
  <si>
    <t xml:space="preserve">Names a pain then immediately talks about code. The owner does not care about junk code, they care that the phone is quiet.</t>
  </si>
  <si>
    <t xml:space="preserve">Rewrite the three cards as the three ways they lose money: never found, found and not trusted, called and missed.</t>
  </si>
  <si>
    <t xml:space="preserve">After-hours</t>
  </si>
  <si>
    <t xml:space="preserve">Missing</t>
  </si>
  <si>
    <t xml:space="preserve">Nothing addresses missed calls or after-hours enquiries outside the AI Automation blurb.</t>
  </si>
  <si>
    <t xml:space="preserve">Research: 56% of homeowners want after-hours contact and 66% of businesses call it their top challenge. Biggest unaddressed pain on the site.</t>
  </si>
  <si>
    <t xml:space="preserve">Give it real space on the homepage and tie it to AI Automation and call tracking.</t>
  </si>
  <si>
    <t xml:space="preserve">Leaking</t>
  </si>
  <si>
    <t xml:space="preserve">Reviews</t>
  </si>
  <si>
    <t xml:space="preserve">Reviews appear only as our own 9 testimonials.</t>
  </si>
  <si>
    <t xml:space="preserve">Research: 87% will not hire below 4 stars, 67% of businesses cannot collect reviews consistently. We sell review help and never name the pain.</t>
  </si>
  <si>
    <t xml:space="preserve">Add the review gap as a named problem and route it to local marketing.</t>
  </si>
  <si>
    <t xml:space="preserve">Attribution</t>
  </si>
  <si>
    <t xml:space="preserve">Measurement is one row in a comparison table.</t>
  </si>
  <si>
    <t xml:space="preserve">Research: 67% of businesses cannot connect spend to revenue and 78% juggle multiple vendors. This is a top-three pain treated as a footnote.</t>
  </si>
  <si>
    <t xml:space="preserve">Promote to its own section: what you can see after launch and what it costs you when you cannot.</t>
  </si>
  <si>
    <t xml:space="preserve">Site-wide</t>
  </si>
  <si>
    <t xml:space="preserve">Contact form</t>
  </si>
  <si>
    <t xml:space="preserve">Defect</t>
  </si>
  <si>
    <t xml:space="preserve">server/leads.json holds 100 submissions and every one is outreach spam. Zero genuine enquiries.</t>
  </si>
  <si>
    <t xml:space="preserve">The form is farmed. We sell "forms hardened against bot traffic" while ours is not.</t>
  </si>
  <si>
    <t xml:space="preserve">Add the hardening we sell to our own form, then re-baseline.</t>
  </si>
  <si>
    <t xml:space="preserve">Maintenance pages</t>
  </si>
  <si>
    <t xml:space="preserve">Schema</t>
  </si>
  <si>
    <t xml:space="preserve">AggregateRating 5.0 with reviewCount 9 hardcoded on three maintenance pages.</t>
  </si>
  <si>
    <t xml:space="preserve">Self-serving review markup on our own service pages breaks Google policy and risks a manual action.</t>
  </si>
  <si>
    <t xml:space="preserve">Remove it. Keep reviews on the Business Profile where they belong.</t>
  </si>
  <si>
    <t xml:space="preserve">~30 files</t>
  </si>
  <si>
    <t xml:space="preserve">Em dashes</t>
  </si>
  <si>
    <t xml:space="preserve">Em dashes remain across roughly 30 other files. HomeVariation1 has 13.</t>
  </si>
  <si>
    <t xml:space="preserve">Standing brand rule, already fixed on the two rebuilt pages only.</t>
  </si>
  <si>
    <t xml:space="preserve">Sweep the rest.</t>
  </si>
  <si>
    <t xml:space="preserve">n/a</t>
  </si>
  <si>
    <t xml:space="preserve">What the owner actually says</t>
  </si>
  <si>
    <t xml:space="preserve">Research</t>
  </si>
  <si>
    <t xml:space="preserve">Source</t>
  </si>
  <si>
    <t xml:space="preserve">Our answer</t>
  </si>
  <si>
    <t xml:space="preserve">"Nobody finds us. My competitor is above me and they are worse."</t>
  </si>
  <si>
    <t xml:space="preserve">58% of local service businesses do not optimise for local search. 83% of homeowners start online. 76% who search near me visit within a day.</t>
  </si>
  <si>
    <t xml:space="preserve">SEO Blueprint 2026; Scorpion 2026</t>
  </si>
  <si>
    <t xml:space="preserve">Local SEO, the map pack, one page per service</t>
  </si>
  <si>
    <t xml:space="preserve">"They find us and still call somebody else."</t>
  </si>
  <si>
    <t xml:space="preserve">87% will not hire a business rated under 4 stars. 67% of owners cannot collect reviews consistently. 55% cannot differentiate themselves.</t>
  </si>
  <si>
    <t xml:space="preserve">Scorpion 2026</t>
  </si>
  <si>
    <t xml:space="preserve">Reviews, Business Profile, real photos, a site that looks current</t>
  </si>
  <si>
    <t xml:space="preserve">"The phone rang and nobody picked up. They called the next guy."</t>
  </si>
  <si>
    <t xml:space="preserve">56% of homeowners want after-hours contact. 66% of businesses name after-hours service their top challenge. Contractors lose callers to whoever answers first.</t>
  </si>
  <si>
    <t xml:space="preserve">Scorpion 2026; PipelineOn 2026</t>
  </si>
  <si>
    <t xml:space="preserve">AI automation, forms that work, speed, call tracking</t>
  </si>
  <si>
    <t xml:space="preserve">"I am spending money and I have no idea what it did."</t>
  </si>
  <si>
    <t xml:space="preserve">67% cannot connect marketing spend to revenue. 78% use multiple vendors, which breaks tracking.</t>
  </si>
  <si>
    <t xml:space="preserve">Call tracking, UTM-tagged profile links, GA4 and Search Console</t>
  </si>
  <si>
    <t xml:space="preserve">"The last guy over-promised, went quiet, and still has my domain."</t>
  </si>
  <si>
    <t xml:space="preserve">Owners report over-promising, no account access, no data, no transparent pricing, slow replies, and expecting 25-30 leads and getting under 5.</t>
  </si>
  <si>
    <t xml:space="preserve">Surefire Local</t>
  </si>
  <si>
    <t xml:space="preserve">Published pricing, you own everything, one named person, work we turn down</t>
  </si>
  <si>
    <t xml:space="preserve">Fix list summary</t>
  </si>
  <si>
    <t xml:space="preserve">By type</t>
  </si>
  <si>
    <t xml:space="preserve">By priority</t>
  </si>
  <si>
    <t xml:space="preserve">Total items</t>
  </si>
  <si>
    <t xml:space="preserve">P1 = ship first. Contradictions and anything a visitor could catch us on.</t>
  </si>
  <si>
    <t xml:space="preserve">Pain categories and research live on the second tab.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</si>
</sst>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8460A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E8DC"/>
        <bgColor rgb="FFFFF6E8"/>
      </patternFill>
    </fill>
    <fill>
      <patternFill patternType="solid">
        <fgColor rgb="FFFFF6E8"/>
        <bgColor rgb="FFF3F4F6"/>
      </patternFill>
    </fill>
    <fill>
      <patternFill patternType="solid">
        <fgColor rgb="FFF3F4F6"/>
        <bgColor rgb="FFFFF6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460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E8DC"/>
          <bgColor rgb="FF000000"/>
        </patternFill>
      </fill>
    </dxf>
    <dxf>
      <fill>
        <patternFill patternType="solid">
          <fgColor rgb="FFFFF6E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8"/>
      <rgbColor rgb="FFF3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8460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52"/>
    <col collapsed="false" customWidth="true" hidden="false" outlineLevel="0" max="7" min="7" style="0" width="56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57.75" hidden="false" customHeight="true" outlineLevel="0" collapsed="false">
      <c r="A2" s="2" t="n">
        <v>1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5" t="s">
        <v>16</v>
      </c>
    </row>
    <row r="3" customFormat="false" ht="57.75" hidden="false" customHeight="true" outlineLevel="0" collapsed="false">
      <c r="A3" s="2" t="n">
        <v>2</v>
      </c>
      <c r="B3" s="3" t="s">
        <v>17</v>
      </c>
      <c r="C3" s="3" t="s">
        <v>18</v>
      </c>
      <c r="D3" s="4" t="s">
        <v>11</v>
      </c>
      <c r="E3" s="3" t="s">
        <v>19</v>
      </c>
      <c r="F3" s="3" t="s">
        <v>20</v>
      </c>
      <c r="G3" s="3" t="s">
        <v>21</v>
      </c>
      <c r="H3" s="3" t="s">
        <v>15</v>
      </c>
      <c r="I3" s="5" t="s">
        <v>16</v>
      </c>
    </row>
    <row r="4" customFormat="false" ht="57.75" hidden="false" customHeight="true" outlineLevel="0" collapsed="false">
      <c r="A4" s="2" t="n">
        <v>3</v>
      </c>
      <c r="B4" s="3" t="s">
        <v>9</v>
      </c>
      <c r="C4" s="3" t="s">
        <v>22</v>
      </c>
      <c r="D4" s="4" t="s">
        <v>11</v>
      </c>
      <c r="E4" s="3" t="s">
        <v>23</v>
      </c>
      <c r="F4" s="3" t="s">
        <v>24</v>
      </c>
      <c r="G4" s="3" t="s">
        <v>25</v>
      </c>
      <c r="H4" s="3" t="s">
        <v>15</v>
      </c>
      <c r="I4" s="5" t="s">
        <v>16</v>
      </c>
    </row>
    <row r="5" customFormat="false" ht="57.75" hidden="false" customHeight="true" outlineLevel="0" collapsed="false">
      <c r="A5" s="2" t="n">
        <v>4</v>
      </c>
      <c r="B5" s="3" t="s">
        <v>17</v>
      </c>
      <c r="C5" s="3" t="s">
        <v>26</v>
      </c>
      <c r="D5" s="4" t="s">
        <v>27</v>
      </c>
      <c r="E5" s="3" t="s">
        <v>28</v>
      </c>
      <c r="F5" s="3" t="s">
        <v>29</v>
      </c>
      <c r="G5" s="3" t="s">
        <v>30</v>
      </c>
      <c r="H5" s="3" t="s">
        <v>15</v>
      </c>
      <c r="I5" s="5" t="s">
        <v>16</v>
      </c>
    </row>
    <row r="6" customFormat="false" ht="57.75" hidden="false" customHeight="true" outlineLevel="0" collapsed="false">
      <c r="A6" s="2" t="n">
        <v>5</v>
      </c>
      <c r="B6" s="3" t="s">
        <v>17</v>
      </c>
      <c r="C6" s="3" t="s">
        <v>31</v>
      </c>
      <c r="D6" s="4" t="s">
        <v>27</v>
      </c>
      <c r="E6" s="3" t="s">
        <v>32</v>
      </c>
      <c r="F6" s="3" t="s">
        <v>33</v>
      </c>
      <c r="G6" s="3" t="s">
        <v>34</v>
      </c>
      <c r="H6" s="3" t="s">
        <v>15</v>
      </c>
      <c r="I6" s="5" t="s">
        <v>16</v>
      </c>
    </row>
    <row r="7" customFormat="false" ht="57.75" hidden="false" customHeight="true" outlineLevel="0" collapsed="false">
      <c r="A7" s="2" t="n">
        <v>6</v>
      </c>
      <c r="B7" s="3" t="s">
        <v>35</v>
      </c>
      <c r="C7" s="3" t="s">
        <v>36</v>
      </c>
      <c r="D7" s="4" t="s">
        <v>27</v>
      </c>
      <c r="E7" s="3" t="s">
        <v>37</v>
      </c>
      <c r="F7" s="3" t="s">
        <v>38</v>
      </c>
      <c r="G7" s="3" t="s">
        <v>39</v>
      </c>
      <c r="H7" s="3" t="s">
        <v>40</v>
      </c>
      <c r="I7" s="5" t="s">
        <v>16</v>
      </c>
    </row>
    <row r="8" customFormat="false" ht="57.75" hidden="false" customHeight="true" outlineLevel="0" collapsed="false">
      <c r="A8" s="2" t="n">
        <v>7</v>
      </c>
      <c r="B8" s="3" t="s">
        <v>17</v>
      </c>
      <c r="C8" s="3" t="s">
        <v>41</v>
      </c>
      <c r="D8" s="4" t="s">
        <v>27</v>
      </c>
      <c r="E8" s="3" t="s">
        <v>42</v>
      </c>
      <c r="F8" s="3" t="s">
        <v>43</v>
      </c>
      <c r="G8" s="3" t="s">
        <v>44</v>
      </c>
      <c r="H8" s="3" t="s">
        <v>40</v>
      </c>
      <c r="I8" s="6" t="s">
        <v>45</v>
      </c>
    </row>
    <row r="9" customFormat="false" ht="57.75" hidden="false" customHeight="true" outlineLevel="0" collapsed="false">
      <c r="A9" s="2" t="n">
        <v>8</v>
      </c>
      <c r="B9" s="3" t="s">
        <v>9</v>
      </c>
      <c r="C9" s="3" t="s">
        <v>46</v>
      </c>
      <c r="D9" s="4" t="s">
        <v>11</v>
      </c>
      <c r="E9" s="3" t="s">
        <v>47</v>
      </c>
      <c r="F9" s="3" t="s">
        <v>48</v>
      </c>
      <c r="G9" s="3" t="s">
        <v>49</v>
      </c>
      <c r="H9" s="3" t="s">
        <v>50</v>
      </c>
      <c r="I9" s="6" t="s">
        <v>45</v>
      </c>
    </row>
    <row r="10" customFormat="false" ht="57.75" hidden="false" customHeight="true" outlineLevel="0" collapsed="false">
      <c r="A10" s="2" t="n">
        <v>9</v>
      </c>
      <c r="B10" s="3" t="s">
        <v>35</v>
      </c>
      <c r="C10" s="3" t="s">
        <v>51</v>
      </c>
      <c r="D10" s="4" t="s">
        <v>11</v>
      </c>
      <c r="E10" s="3" t="s">
        <v>52</v>
      </c>
      <c r="F10" s="3" t="s">
        <v>53</v>
      </c>
      <c r="G10" s="3" t="s">
        <v>54</v>
      </c>
      <c r="H10" s="3" t="s">
        <v>15</v>
      </c>
      <c r="I10" s="6" t="s">
        <v>45</v>
      </c>
    </row>
    <row r="11" customFormat="false" ht="57.75" hidden="false" customHeight="true" outlineLevel="0" collapsed="false">
      <c r="A11" s="2" t="n">
        <v>10</v>
      </c>
      <c r="B11" s="3" t="s">
        <v>9</v>
      </c>
      <c r="C11" s="3" t="s">
        <v>55</v>
      </c>
      <c r="D11" s="7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6" t="s">
        <v>45</v>
      </c>
    </row>
    <row r="12" customFormat="false" ht="57.75" hidden="false" customHeight="true" outlineLevel="0" collapsed="false">
      <c r="A12" s="2" t="n">
        <v>11</v>
      </c>
      <c r="B12" s="3" t="s">
        <v>9</v>
      </c>
      <c r="C12" s="3" t="s">
        <v>61</v>
      </c>
      <c r="D12" s="7" t="s">
        <v>56</v>
      </c>
      <c r="E12" s="3" t="s">
        <v>62</v>
      </c>
      <c r="F12" s="3" t="s">
        <v>63</v>
      </c>
      <c r="G12" s="3" t="s">
        <v>64</v>
      </c>
      <c r="H12" s="3" t="s">
        <v>50</v>
      </c>
      <c r="I12" s="6" t="s">
        <v>45</v>
      </c>
    </row>
    <row r="13" customFormat="false" ht="57.75" hidden="false" customHeight="true" outlineLevel="0" collapsed="false">
      <c r="A13" s="2" t="n">
        <v>12</v>
      </c>
      <c r="B13" s="3" t="s">
        <v>9</v>
      </c>
      <c r="C13" s="3" t="s">
        <v>65</v>
      </c>
      <c r="D13" s="7" t="s">
        <v>56</v>
      </c>
      <c r="E13" s="3" t="s">
        <v>66</v>
      </c>
      <c r="F13" s="3" t="s">
        <v>67</v>
      </c>
      <c r="G13" s="3" t="s">
        <v>68</v>
      </c>
      <c r="H13" s="3" t="s">
        <v>15</v>
      </c>
      <c r="I13" s="8" t="s">
        <v>69</v>
      </c>
    </row>
    <row r="14" customFormat="false" ht="57.75" hidden="false" customHeight="true" outlineLevel="0" collapsed="false">
      <c r="A14" s="2" t="n">
        <v>13</v>
      </c>
      <c r="B14" s="3" t="s">
        <v>35</v>
      </c>
      <c r="C14" s="3" t="s">
        <v>70</v>
      </c>
      <c r="D14" s="7" t="s">
        <v>56</v>
      </c>
      <c r="E14" s="3" t="s">
        <v>71</v>
      </c>
      <c r="F14" s="3" t="s">
        <v>72</v>
      </c>
      <c r="G14" s="3" t="s">
        <v>73</v>
      </c>
      <c r="H14" s="3" t="s">
        <v>15</v>
      </c>
      <c r="I14" s="5" t="s">
        <v>16</v>
      </c>
    </row>
    <row r="15" customFormat="false" ht="57.75" hidden="false" customHeight="true" outlineLevel="0" collapsed="false">
      <c r="A15" s="2" t="n">
        <v>14</v>
      </c>
      <c r="B15" s="3" t="s">
        <v>17</v>
      </c>
      <c r="C15" s="3" t="s">
        <v>74</v>
      </c>
      <c r="D15" s="9" t="s">
        <v>75</v>
      </c>
      <c r="E15" s="3" t="s">
        <v>76</v>
      </c>
      <c r="F15" s="3" t="s">
        <v>77</v>
      </c>
      <c r="G15" s="3" t="s">
        <v>78</v>
      </c>
      <c r="H15" s="3" t="s">
        <v>60</v>
      </c>
      <c r="I15" s="5" t="s">
        <v>16</v>
      </c>
    </row>
    <row r="16" customFormat="false" ht="57.75" hidden="false" customHeight="true" outlineLevel="0" collapsed="false">
      <c r="A16" s="2" t="n">
        <v>15</v>
      </c>
      <c r="B16" s="3" t="s">
        <v>17</v>
      </c>
      <c r="C16" s="3" t="s">
        <v>79</v>
      </c>
      <c r="D16" s="9" t="s">
        <v>75</v>
      </c>
      <c r="E16" s="3" t="s">
        <v>80</v>
      </c>
      <c r="F16" s="3" t="s">
        <v>81</v>
      </c>
      <c r="G16" s="3" t="s">
        <v>82</v>
      </c>
      <c r="H16" s="3" t="s">
        <v>60</v>
      </c>
      <c r="I16" s="5" t="s">
        <v>16</v>
      </c>
    </row>
    <row r="17" customFormat="false" ht="57.75" hidden="false" customHeight="true" outlineLevel="0" collapsed="false">
      <c r="A17" s="2" t="n">
        <v>16</v>
      </c>
      <c r="B17" s="3" t="s">
        <v>35</v>
      </c>
      <c r="C17" s="3" t="s">
        <v>83</v>
      </c>
      <c r="D17" s="9" t="s">
        <v>75</v>
      </c>
      <c r="E17" s="3" t="s">
        <v>84</v>
      </c>
      <c r="F17" s="3" t="s">
        <v>85</v>
      </c>
      <c r="G17" s="3" t="s">
        <v>86</v>
      </c>
      <c r="H17" s="3" t="s">
        <v>60</v>
      </c>
      <c r="I17" s="5" t="s">
        <v>16</v>
      </c>
    </row>
    <row r="18" customFormat="false" ht="57.75" hidden="false" customHeight="true" outlineLevel="0" collapsed="false">
      <c r="A18" s="2" t="n">
        <v>17</v>
      </c>
      <c r="B18" s="3" t="s">
        <v>9</v>
      </c>
      <c r="C18" s="3" t="s">
        <v>87</v>
      </c>
      <c r="D18" s="9" t="s">
        <v>75</v>
      </c>
      <c r="E18" s="3" t="s">
        <v>88</v>
      </c>
      <c r="F18" s="3" t="s">
        <v>89</v>
      </c>
      <c r="G18" s="3" t="s">
        <v>90</v>
      </c>
      <c r="H18" s="3" t="s">
        <v>91</v>
      </c>
      <c r="I18" s="5" t="s">
        <v>16</v>
      </c>
    </row>
    <row r="19" customFormat="false" ht="57.75" hidden="false" customHeight="true" outlineLevel="0" collapsed="false">
      <c r="A19" s="2" t="n">
        <v>18</v>
      </c>
      <c r="B19" s="3" t="s">
        <v>17</v>
      </c>
      <c r="C19" s="3" t="s">
        <v>92</v>
      </c>
      <c r="D19" s="9" t="s">
        <v>75</v>
      </c>
      <c r="E19" s="3" t="s">
        <v>93</v>
      </c>
      <c r="F19" s="3" t="s">
        <v>94</v>
      </c>
      <c r="G19" s="3" t="s">
        <v>95</v>
      </c>
      <c r="H19" s="3" t="s">
        <v>60</v>
      </c>
      <c r="I19" s="5" t="s">
        <v>16</v>
      </c>
    </row>
    <row r="20" customFormat="false" ht="57.75" hidden="false" customHeight="true" outlineLevel="0" collapsed="false">
      <c r="A20" s="2" t="n">
        <v>19</v>
      </c>
      <c r="B20" s="3" t="s">
        <v>9</v>
      </c>
      <c r="C20" s="3" t="s">
        <v>96</v>
      </c>
      <c r="D20" s="7" t="s">
        <v>97</v>
      </c>
      <c r="E20" s="3" t="s">
        <v>98</v>
      </c>
      <c r="F20" s="3" t="s">
        <v>99</v>
      </c>
      <c r="G20" s="3" t="s">
        <v>100</v>
      </c>
      <c r="H20" s="3" t="s">
        <v>101</v>
      </c>
      <c r="I20" s="5" t="s">
        <v>16</v>
      </c>
    </row>
    <row r="21" customFormat="false" ht="57.75" hidden="false" customHeight="true" outlineLevel="0" collapsed="false">
      <c r="A21" s="2" t="n">
        <v>20</v>
      </c>
      <c r="B21" s="3" t="s">
        <v>9</v>
      </c>
      <c r="C21" s="3" t="s">
        <v>102</v>
      </c>
      <c r="D21" s="7" t="s">
        <v>97</v>
      </c>
      <c r="E21" s="3" t="s">
        <v>103</v>
      </c>
      <c r="F21" s="3" t="s">
        <v>104</v>
      </c>
      <c r="G21" s="3" t="s">
        <v>105</v>
      </c>
      <c r="H21" s="3" t="s">
        <v>40</v>
      </c>
      <c r="I21" s="6" t="s">
        <v>45</v>
      </c>
    </row>
    <row r="22" customFormat="false" ht="57.75" hidden="false" customHeight="true" outlineLevel="0" collapsed="false">
      <c r="A22" s="2" t="n">
        <v>21</v>
      </c>
      <c r="B22" s="3" t="s">
        <v>9</v>
      </c>
      <c r="C22" s="3" t="s">
        <v>106</v>
      </c>
      <c r="D22" s="9" t="s">
        <v>75</v>
      </c>
      <c r="E22" s="3" t="s">
        <v>107</v>
      </c>
      <c r="F22" s="3" t="s">
        <v>108</v>
      </c>
      <c r="G22" s="3" t="s">
        <v>109</v>
      </c>
      <c r="H22" s="3" t="s">
        <v>50</v>
      </c>
      <c r="I22" s="6" t="s">
        <v>45</v>
      </c>
    </row>
    <row r="23" customFormat="false" ht="57.75" hidden="false" customHeight="true" outlineLevel="0" collapsed="false">
      <c r="A23" s="2" t="n">
        <v>22</v>
      </c>
      <c r="B23" s="3" t="s">
        <v>110</v>
      </c>
      <c r="C23" s="3" t="s">
        <v>111</v>
      </c>
      <c r="D23" s="4" t="s">
        <v>112</v>
      </c>
      <c r="E23" s="3" t="s">
        <v>113</v>
      </c>
      <c r="F23" s="3" t="s">
        <v>114</v>
      </c>
      <c r="G23" s="3" t="s">
        <v>115</v>
      </c>
      <c r="H23" s="3" t="s">
        <v>101</v>
      </c>
      <c r="I23" s="5" t="s">
        <v>16</v>
      </c>
    </row>
    <row r="24" customFormat="false" ht="57.75" hidden="false" customHeight="true" outlineLevel="0" collapsed="false">
      <c r="A24" s="2" t="n">
        <v>23</v>
      </c>
      <c r="B24" s="3" t="s">
        <v>116</v>
      </c>
      <c r="C24" s="3" t="s">
        <v>117</v>
      </c>
      <c r="D24" s="4" t="s">
        <v>112</v>
      </c>
      <c r="E24" s="3" t="s">
        <v>118</v>
      </c>
      <c r="F24" s="3" t="s">
        <v>119</v>
      </c>
      <c r="G24" s="3" t="s">
        <v>120</v>
      </c>
      <c r="H24" s="3" t="s">
        <v>40</v>
      </c>
      <c r="I24" s="5" t="s">
        <v>16</v>
      </c>
    </row>
    <row r="25" customFormat="false" ht="57.75" hidden="false" customHeight="true" outlineLevel="0" collapsed="false">
      <c r="A25" s="2" t="n">
        <v>24</v>
      </c>
      <c r="B25" s="3" t="s">
        <v>121</v>
      </c>
      <c r="C25" s="3" t="s">
        <v>122</v>
      </c>
      <c r="D25" s="4" t="s">
        <v>112</v>
      </c>
      <c r="E25" s="3" t="s">
        <v>123</v>
      </c>
      <c r="F25" s="3" t="s">
        <v>124</v>
      </c>
      <c r="G25" s="3" t="s">
        <v>125</v>
      </c>
      <c r="H25" s="3" t="s">
        <v>126</v>
      </c>
      <c r="I25" s="8" t="s">
        <v>69</v>
      </c>
    </row>
  </sheetData>
  <autoFilter ref="A1:I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0" t="s">
        <v>0</v>
      </c>
      <c r="B1" s="10" t="s">
        <v>7</v>
      </c>
      <c r="C1" s="10" t="s">
        <v>127</v>
      </c>
      <c r="D1" s="10" t="s">
        <v>128</v>
      </c>
      <c r="E1" s="10" t="s">
        <v>129</v>
      </c>
      <c r="F1" s="10" t="s">
        <v>130</v>
      </c>
    </row>
    <row r="2" customFormat="false" ht="75.75" hidden="false" customHeight="true" outlineLevel="0" collapsed="false">
      <c r="A2" s="2" t="n">
        <v>1</v>
      </c>
      <c r="B2" s="11" t="s">
        <v>60</v>
      </c>
      <c r="C2" s="3" t="s">
        <v>131</v>
      </c>
      <c r="D2" s="3" t="s">
        <v>132</v>
      </c>
      <c r="E2" s="3" t="s">
        <v>133</v>
      </c>
      <c r="F2" s="3" t="s">
        <v>134</v>
      </c>
    </row>
    <row r="3" customFormat="false" ht="75.75" hidden="false" customHeight="true" outlineLevel="0" collapsed="false">
      <c r="A3" s="2" t="n">
        <v>2</v>
      </c>
      <c r="B3" s="11" t="s">
        <v>40</v>
      </c>
      <c r="C3" s="3" t="s">
        <v>135</v>
      </c>
      <c r="D3" s="3" t="s">
        <v>136</v>
      </c>
      <c r="E3" s="3" t="s">
        <v>137</v>
      </c>
      <c r="F3" s="3" t="s">
        <v>138</v>
      </c>
    </row>
    <row r="4" customFormat="false" ht="75.75" hidden="false" customHeight="true" outlineLevel="0" collapsed="false">
      <c r="A4" s="2" t="n">
        <v>3</v>
      </c>
      <c r="B4" s="11" t="s">
        <v>101</v>
      </c>
      <c r="C4" s="3" t="s">
        <v>139</v>
      </c>
      <c r="D4" s="3" t="s">
        <v>140</v>
      </c>
      <c r="E4" s="3" t="s">
        <v>141</v>
      </c>
      <c r="F4" s="3" t="s">
        <v>142</v>
      </c>
    </row>
    <row r="5" customFormat="false" ht="75.75" hidden="false" customHeight="true" outlineLevel="0" collapsed="false">
      <c r="A5" s="2" t="n">
        <v>4</v>
      </c>
      <c r="B5" s="11" t="s">
        <v>50</v>
      </c>
      <c r="C5" s="3" t="s">
        <v>143</v>
      </c>
      <c r="D5" s="3" t="s">
        <v>144</v>
      </c>
      <c r="E5" s="3" t="s">
        <v>137</v>
      </c>
      <c r="F5" s="3" t="s">
        <v>145</v>
      </c>
    </row>
    <row r="6" customFormat="false" ht="75.75" hidden="false" customHeight="true" outlineLevel="0" collapsed="false">
      <c r="A6" s="2" t="n">
        <v>5</v>
      </c>
      <c r="B6" s="11" t="s">
        <v>15</v>
      </c>
      <c r="C6" s="3" t="s">
        <v>146</v>
      </c>
      <c r="D6" s="3" t="s">
        <v>147</v>
      </c>
      <c r="E6" s="3" t="s">
        <v>148</v>
      </c>
      <c r="F6" s="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2" t="s">
        <v>150</v>
      </c>
    </row>
    <row r="3" customFormat="false" ht="15" hidden="false" customHeight="false" outlineLevel="0" collapsed="false">
      <c r="A3" s="13" t="s">
        <v>151</v>
      </c>
    </row>
    <row r="4" customFormat="false" ht="15" hidden="false" customHeight="false" outlineLevel="0" collapsed="false">
      <c r="A4" s="14" t="s">
        <v>11</v>
      </c>
      <c r="B4" s="15" t="n">
        <f aca="false">COUNTIF('Fix List'!$D$2:$D$25,A4)</f>
        <v>5</v>
      </c>
    </row>
    <row r="5" customFormat="false" ht="15" hidden="false" customHeight="false" outlineLevel="0" collapsed="false">
      <c r="A5" s="14" t="s">
        <v>56</v>
      </c>
      <c r="B5" s="15" t="n">
        <f aca="false">COUNTIF('Fix List'!$D$2:$D$25,A5)</f>
        <v>4</v>
      </c>
    </row>
    <row r="6" customFormat="false" ht="15" hidden="false" customHeight="false" outlineLevel="0" collapsed="false">
      <c r="A6" s="14" t="s">
        <v>27</v>
      </c>
      <c r="B6" s="15" t="n">
        <f aca="false">COUNTIF('Fix List'!$D$2:$D$25,A6)</f>
        <v>4</v>
      </c>
    </row>
    <row r="7" customFormat="false" ht="15" hidden="false" customHeight="false" outlineLevel="0" collapsed="false">
      <c r="A7" s="14" t="s">
        <v>75</v>
      </c>
      <c r="B7" s="15" t="n">
        <f aca="false">COUNTIF('Fix List'!$D$2:$D$25,A7)</f>
        <v>6</v>
      </c>
    </row>
    <row r="8" customFormat="false" ht="15" hidden="false" customHeight="false" outlineLevel="0" collapsed="false">
      <c r="A8" s="14" t="s">
        <v>97</v>
      </c>
      <c r="B8" s="15" t="n">
        <f aca="false">COUNTIF('Fix List'!$D$2:$D$25,A8)</f>
        <v>2</v>
      </c>
    </row>
    <row r="9" customFormat="false" ht="15" hidden="false" customHeight="false" outlineLevel="0" collapsed="false">
      <c r="A9" s="14" t="s">
        <v>112</v>
      </c>
      <c r="B9" s="15" t="n">
        <f aca="false">COUNTIF('Fix List'!$D$2:$D$25,A9)</f>
        <v>3</v>
      </c>
    </row>
    <row r="11" customFormat="false" ht="15" hidden="false" customHeight="false" outlineLevel="0" collapsed="false">
      <c r="A11" s="13" t="s">
        <v>152</v>
      </c>
    </row>
    <row r="12" customFormat="false" ht="15" hidden="false" customHeight="false" outlineLevel="0" collapsed="false">
      <c r="A12" s="14" t="s">
        <v>16</v>
      </c>
      <c r="B12" s="15" t="n">
        <f aca="false">COUNTIF('Fix List'!$I$2:$I$25,A12)</f>
        <v>15</v>
      </c>
    </row>
    <row r="13" customFormat="false" ht="15" hidden="false" customHeight="false" outlineLevel="0" collapsed="false">
      <c r="A13" s="14" t="s">
        <v>45</v>
      </c>
      <c r="B13" s="15" t="n">
        <f aca="false">COUNTIF('Fix List'!$I$2:$I$25,A13)</f>
        <v>7</v>
      </c>
    </row>
    <row r="14" customFormat="false" ht="15" hidden="false" customHeight="false" outlineLevel="0" collapsed="false">
      <c r="A14" s="14" t="s">
        <v>69</v>
      </c>
      <c r="B14" s="15" t="n">
        <f aca="false">COUNTIF('Fix List'!$I$2:$I$25,A14)</f>
        <v>2</v>
      </c>
    </row>
    <row r="16" customFormat="false" ht="15" hidden="false" customHeight="false" outlineLevel="0" collapsed="false">
      <c r="A16" s="13" t="s">
        <v>153</v>
      </c>
      <c r="B16" s="16" t="n">
        <f aca="false">COUNTA('Fix List'!$A$2:$A$25)</f>
        <v>24</v>
      </c>
    </row>
    <row r="18" customFormat="false" ht="15" hidden="false" customHeight="false" outlineLevel="0" collapsed="false">
      <c r="A18" s="17" t="s">
        <v>154</v>
      </c>
    </row>
    <row r="19" customFormat="false" ht="15" hidden="false" customHeight="false" outlineLevel="0" collapsed="false">
      <c r="A19" s="1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2026-09-02T03:00:32Z</dcterms:created>
  <dc:creator>openpyxl</dc:creator>
  <dc:description/>
  <dc:language>en-US</dc:language>
  <cp:lastModifiedBy/>
  <dcterms:modified xsi:type="dcterms:W3CDTF">2026-09-02T03:00:32Z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